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vs Actual" sheetId="1" state="visible" r:id="rId3"/>
    <sheet name="Monthly Cash Flow" sheetId="2" state="visible" r:id="rId4"/>
    <sheet name="Expense Categories" sheetId="3" state="visible" r:id="rId5"/>
    <sheet name="KPI Summary" sheetId="4" state="visible" r:id="rId6"/>
    <sheet name="Dept Budget Alloc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<sst xmlns="http://schemas.openxmlformats.org/spreadsheetml/2006/main" count="125" uniqueCount="112">
  <si>
    <t xml:space="preserve">Finance &amp; Budget Tracking Dashboard — FY 2024</t>
  </si>
  <si>
    <t xml:space="preserve">Source: Internal Finance System  |  FY2024  |  All figures in USD</t>
  </si>
  <si>
    <t xml:space="preserve">Department</t>
  </si>
  <si>
    <t xml:space="preserve">Q1 Budget ($)</t>
  </si>
  <si>
    <t xml:space="preserve">Q1 Actual ($)</t>
  </si>
  <si>
    <t xml:space="preserve">Q1 Variance ($)</t>
  </si>
  <si>
    <t xml:space="preserve">Q1 Var %</t>
  </si>
  <si>
    <t xml:space="preserve">Annual Budget ($)</t>
  </si>
  <si>
    <t xml:space="preserve">YTD Actual ($)</t>
  </si>
  <si>
    <t xml:space="preserve">YTD Variance ($)</t>
  </si>
  <si>
    <t xml:space="preserve">YTD Var %</t>
  </si>
  <si>
    <t xml:space="preserve">Sales</t>
  </si>
  <si>
    <t xml:space="preserve">Marketing</t>
  </si>
  <si>
    <t xml:space="preserve">Operations</t>
  </si>
  <si>
    <t xml:space="preserve">HR</t>
  </si>
  <si>
    <t xml:space="preserve">IT</t>
  </si>
  <si>
    <t xml:space="preserve">Finance</t>
  </si>
  <si>
    <t xml:space="preserve">R&amp;D</t>
  </si>
  <si>
    <t xml:space="preserve">Customer Support</t>
  </si>
  <si>
    <t xml:space="preserve">Legal</t>
  </si>
  <si>
    <t xml:space="preserve">Procurement</t>
  </si>
  <si>
    <t xml:space="preserve">TOTAL</t>
  </si>
  <si>
    <t xml:space="preserve">Monthly Cash Flow Statement — FY 2024</t>
  </si>
  <si>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</si>
  <si>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</si>
  <si>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</si>
  <si>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</si>
  <si>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</si>
  <si>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</si>
  <si>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</si>
  <si>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</si>
  <si>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</si>
  <si>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</si>
  <si>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</si>
  <si>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</si>
  <si>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</si>
  <si>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</t>
  </si>
  <si>
    <t xml:space="preserve">INFLOWS</t>
  </si>
  <si>
    <t xml:space="preserve">  Revenue - Product Sales</t>
  </si>
  <si>
    <t xml:space="preserve">  Revenue - Services</t>
  </si>
  <si>
    <t xml:space="preserve">  Other Income</t>
  </si>
  <si>
    <t xml:space="preserve">Total INFLOWS</t>
  </si>
  <si>
    <t xml:space="preserve">OUTFLOWS</t>
  </si>
  <si>
    <t xml:space="preserve">  Salaries &amp; Wages</t>
  </si>
  <si>
    <t xml:space="preserve">  Rent &amp; Utilities</t>
  </si>
  <si>
    <t xml:space="preserve">  Marketing Spend</t>
  </si>
  <si>
    <t xml:space="preserve">  COGS</t>
  </si>
  <si>
    <t xml:space="preserve">  Admin &amp; Overhead</t>
  </si>
  <si>
    <t xml:space="preserve">  Capex &amp; Investments</t>
  </si>
  <si>
    <t xml:space="preserve">Total OUTFLOWS</t>
  </si>
  <si>
    <t xml:space="preserve">NET CASH FLOW</t>
  </si>
  <si>
    <t xml:space="preserve">Expense Category Analysis — FY 2024</t>
  </si>
  <si>
    <t xml:space="preserve">Q1 ($)</t>
  </si>
  <si>
    <t xml:space="preserve">Q2 ($)</t>
  </si>
  <si>
    <t xml:space="preserve">Q3 ($)</t>
  </si>
  <si>
    <t xml:space="preserve">Q4 ($)</t>
  </si>
  <si>
    <t xml:space="preserve">Annual Total ($)</t>
  </si>
  <si>
    <t xml:space="preserve">Personnel Costs</t>
  </si>
  <si>
    <t xml:space="preserve">Facilities &amp; Rent</t>
  </si>
  <si>
    <t xml:space="preserve">Technology &amp; IT</t>
  </si>
  <si>
    <t xml:space="preserve">Marketing &amp; Ads</t>
  </si>
  <si>
    <t xml:space="preserve">Cost of Goods Sold</t>
  </si>
  <si>
    <t xml:space="preserve">Travel &amp; Expenses</t>
  </si>
  <si>
    <t xml:space="preserve">Professional Svcs</t>
  </si>
  <si>
    <t xml:space="preserve">R&amp;D Expenses</t>
  </si>
  <si>
    <t xml:space="preserve">Depreciation</t>
  </si>
  <si>
    <t xml:space="preserve">Misc &amp; Other</t>
  </si>
  <si>
    <t xml:space="preserve">TOTAL EXPENSES</t>
  </si>
  <si>
    <t xml:space="preserve">Key Performance Indicators — FY 2024</t>
  </si>
  <si>
    <t xml:space="preserve">KPI</t>
  </si>
  <si>
    <t xml:space="preserve">Target</t>
  </si>
  <si>
    <t xml:space="preserve">Actual</t>
  </si>
  <si>
    <t xml:space="preserve">Variance</t>
  </si>
  <si>
    <t xml:space="preserve">Status</t>
  </si>
  <si>
    <t xml:space="preserve">Total Revenue ($M)</t>
  </si>
  <si>
    <t xml:space="preserve">18.50</t>
  </si>
  <si>
    <t xml:space="preserve">17.83</t>
  </si>
  <si>
    <t xml:space="preserve">Total Expenses ($M)</t>
  </si>
  <si>
    <t xml:space="preserve">14.20</t>
  </si>
  <si>
    <t xml:space="preserve">14.56</t>
  </si>
  <si>
    <t xml:space="preserve">Gross Profit Margin (%)</t>
  </si>
  <si>
    <t xml:space="preserve">35.0%</t>
  </si>
  <si>
    <t xml:space="preserve">33.8%</t>
  </si>
  <si>
    <t xml:space="preserve">EBITDA Margin (%)</t>
  </si>
  <si>
    <t xml:space="preserve">22.0%</t>
  </si>
  <si>
    <t xml:space="preserve">20.4%</t>
  </si>
  <si>
    <t xml:space="preserve">Operating Cash Flow ($M)</t>
  </si>
  <si>
    <t xml:space="preserve">4.80</t>
  </si>
  <si>
    <t xml:space="preserve">4.12</t>
  </si>
  <si>
    <t xml:space="preserve">Budget Utilization (%)</t>
  </si>
  <si>
    <t xml:space="preserve">98.0%</t>
  </si>
  <si>
    <t xml:space="preserve">97.3%</t>
  </si>
  <si>
    <t xml:space="preserve">Cost per Employee ($K)</t>
  </si>
  <si>
    <t xml:space="preserve">85.0</t>
  </si>
  <si>
    <t xml:space="preserve">87.4</t>
  </si>
  <si>
    <t xml:space="preserve">Revenue per Dept ($K)</t>
  </si>
  <si>
    <t xml:space="preserve">180.0</t>
  </si>
  <si>
    <t xml:space="preserve">175.2</t>
  </si>
  <si>
    <t xml:space="preserve">YoY Revenue Growth (%)</t>
  </si>
  <si>
    <t xml:space="preserve">12.0%</t>
  </si>
  <si>
    <t xml:space="preserve">9.8%</t>
  </si>
  <si>
    <t xml:space="preserve">Working Capital Ratio</t>
  </si>
  <si>
    <t xml:space="preserve">2.20</t>
  </si>
  <si>
    <t xml:space="preserve">2.05</t>
  </si>
  <si>
    <t xml:space="preserve">Department Budget Allocation &amp; Headcount — FY 2024</t>
  </si>
  <si>
    <t xml:space="preserve">Assumptions: Budget figures in USD | Headcount as of Jan 2024</t>
  </si>
  <si>
    <t xml:space="preserve">Headcount</t>
  </si>
  <si>
    <t xml:space="preserve">Allocated Budget ($)</t>
  </si>
  <si>
    <t xml:space="preserve">Budget / Head ($)</t>
  </si>
  <si>
    <t xml:space="preserve">% of Total Budget</t>
  </si>
  <si>
    <t xml:space="preserve">Previous Year ($)</t>
  </si>
  <si>
    <t xml:space="preserve">YoY Change (%)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</si>
</sst>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General"/>
    <numFmt numFmtId="168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C55A11"/>
        <bgColor rgb="FF993300"/>
      </patternFill>
    </fill>
    <fill>
      <patternFill patternType="solid">
        <fgColor rgb="FF375623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s">
        <v>11</v>
      </c>
      <c r="B4" s="5" t="n">
        <v>420000</v>
      </c>
      <c r="C4" s="5" t="n">
        <v>398000</v>
      </c>
      <c r="D4" s="6" t="n">
        <f aca="false">C4-B4</f>
        <v>-22000</v>
      </c>
      <c r="E4" s="7" t="n">
        <f aca="false">IFERROR(D4/B4,0)</f>
        <v>-0.0523809523809524</v>
      </c>
      <c r="F4" s="5" t="n">
        <v>1800000</v>
      </c>
      <c r="G4" s="5" t="n">
        <v>1710000</v>
      </c>
      <c r="H4" s="6" t="n">
        <f aca="false">G4-F4</f>
        <v>-90000</v>
      </c>
      <c r="I4" s="7" t="n">
        <f aca="false">IFERROR(H4/F4,0)</f>
        <v>-0.05</v>
      </c>
    </row>
    <row r="5" customFormat="false" ht="15" hidden="false" customHeight="false" outlineLevel="0" collapsed="false">
      <c r="A5" s="8" t="s">
        <v>12</v>
      </c>
      <c r="B5" s="9" t="n">
        <v>310000</v>
      </c>
      <c r="C5" s="9" t="n">
        <v>325000</v>
      </c>
      <c r="D5" s="10" t="n">
        <f aca="false">C5-B5</f>
        <v>15000</v>
      </c>
      <c r="E5" s="11" t="n">
        <f aca="false">IFERROR(D5/B5,0)</f>
        <v>0.0483870967741936</v>
      </c>
      <c r="F5" s="9" t="n">
        <v>1200000</v>
      </c>
      <c r="G5" s="9" t="n">
        <v>1180000</v>
      </c>
      <c r="H5" s="10" t="n">
        <f aca="false">G5-F5</f>
        <v>-20000</v>
      </c>
      <c r="I5" s="11" t="n">
        <f aca="false">IFERROR(H5/F5,0)</f>
        <v>-0.0166666666666667</v>
      </c>
    </row>
    <row r="6" customFormat="false" ht="15" hidden="false" customHeight="false" outlineLevel="0" collapsed="false">
      <c r="A6" s="4" t="s">
        <v>13</v>
      </c>
      <c r="B6" s="5" t="n">
        <v>550000</v>
      </c>
      <c r="C6" s="5" t="n">
        <v>542000</v>
      </c>
      <c r="D6" s="6" t="n">
        <f aca="false">C6-B6</f>
        <v>-8000</v>
      </c>
      <c r="E6" s="7" t="n">
        <f aca="false">IFERROR(D6/B6,0)</f>
        <v>-0.0145454545454545</v>
      </c>
      <c r="F6" s="5" t="n">
        <v>2100000</v>
      </c>
      <c r="G6" s="5" t="n">
        <v>2090000</v>
      </c>
      <c r="H6" s="6" t="n">
        <f aca="false">G6-F6</f>
        <v>-10000</v>
      </c>
      <c r="I6" s="7" t="n">
        <f aca="false">IFERROR(H6/F6,0)</f>
        <v>-0.00476190476190476</v>
      </c>
    </row>
    <row r="7" customFormat="false" ht="15" hidden="false" customHeight="false" outlineLevel="0" collapsed="false">
      <c r="A7" s="8" t="s">
        <v>14</v>
      </c>
      <c r="B7" s="9" t="n">
        <v>180000</v>
      </c>
      <c r="C7" s="9" t="n">
        <v>176000</v>
      </c>
      <c r="D7" s="10" t="n">
        <f aca="false">C7-B7</f>
        <v>-4000</v>
      </c>
      <c r="E7" s="11" t="n">
        <f aca="false">IFERROR(D7/B7,0)</f>
        <v>-0.0222222222222222</v>
      </c>
      <c r="F7" s="9" t="n">
        <v>720000</v>
      </c>
      <c r="G7" s="9" t="n">
        <v>698000</v>
      </c>
      <c r="H7" s="10" t="n">
        <f aca="false">G7-F7</f>
        <v>-22000</v>
      </c>
      <c r="I7" s="11" t="n">
        <f aca="false">IFERROR(H7/F7,0)</f>
        <v>-0.0305555555555556</v>
      </c>
    </row>
    <row r="8" customFormat="false" ht="15" hidden="false" customHeight="false" outlineLevel="0" collapsed="false">
      <c r="A8" s="4" t="s">
        <v>15</v>
      </c>
      <c r="B8" s="5" t="n">
        <v>260000</v>
      </c>
      <c r="C8" s="5" t="n">
        <v>271000</v>
      </c>
      <c r="D8" s="6" t="n">
        <f aca="false">C8-B8</f>
        <v>11000</v>
      </c>
      <c r="E8" s="7" t="n">
        <f aca="false">IFERROR(D8/B8,0)</f>
        <v>0.0423076923076923</v>
      </c>
      <c r="F8" s="5" t="n">
        <v>1040000</v>
      </c>
      <c r="G8" s="5" t="n">
        <v>1055000</v>
      </c>
      <c r="H8" s="6" t="n">
        <f aca="false">G8-F8</f>
        <v>15000</v>
      </c>
      <c r="I8" s="7" t="n">
        <f aca="false">IFERROR(H8/F8,0)</f>
        <v>0.0144230769230769</v>
      </c>
    </row>
    <row r="9" customFormat="false" ht="15" hidden="false" customHeight="false" outlineLevel="0" collapsed="false">
      <c r="A9" s="8" t="s">
        <v>16</v>
      </c>
      <c r="B9" s="9" t="n">
        <v>140000</v>
      </c>
      <c r="C9" s="9" t="n">
        <v>138000</v>
      </c>
      <c r="D9" s="10" t="n">
        <f aca="false">C9-B9</f>
        <v>-2000</v>
      </c>
      <c r="E9" s="11" t="n">
        <f aca="false">IFERROR(D9/B9,0)</f>
        <v>-0.0142857142857143</v>
      </c>
      <c r="F9" s="9" t="n">
        <v>560000</v>
      </c>
      <c r="G9" s="9" t="n">
        <v>554000</v>
      </c>
      <c r="H9" s="10" t="n">
        <f aca="false">G9-F9</f>
        <v>-6000</v>
      </c>
      <c r="I9" s="11" t="n">
        <f aca="false">IFERROR(H9/F9,0)</f>
        <v>-0.0107142857142857</v>
      </c>
    </row>
    <row r="10" customFormat="false" ht="15" hidden="false" customHeight="false" outlineLevel="0" collapsed="false">
      <c r="A10" s="4" t="s">
        <v>17</v>
      </c>
      <c r="B10" s="5" t="n">
        <v>380000</v>
      </c>
      <c r="C10" s="5" t="n">
        <v>401000</v>
      </c>
      <c r="D10" s="6" t="n">
        <f aca="false">C10-B10</f>
        <v>21000</v>
      </c>
      <c r="E10" s="7" t="n">
        <f aca="false">IFERROR(D10/B10,0)</f>
        <v>0.0552631578947368</v>
      </c>
      <c r="F10" s="5" t="n">
        <v>1520000</v>
      </c>
      <c r="G10" s="5" t="n">
        <v>1498000</v>
      </c>
      <c r="H10" s="6" t="n">
        <f aca="false">G10-F10</f>
        <v>-22000</v>
      </c>
      <c r="I10" s="7" t="n">
        <f aca="false">IFERROR(H10/F10,0)</f>
        <v>-0.0144736842105263</v>
      </c>
    </row>
    <row r="11" customFormat="false" ht="15" hidden="false" customHeight="false" outlineLevel="0" collapsed="false">
      <c r="A11" s="8" t="s">
        <v>18</v>
      </c>
      <c r="B11" s="9" t="n">
        <v>200000</v>
      </c>
      <c r="C11" s="9" t="n">
        <v>195000</v>
      </c>
      <c r="D11" s="10" t="n">
        <f aca="false">C11-B11</f>
        <v>-5000</v>
      </c>
      <c r="E11" s="11" t="n">
        <f aca="false">IFERROR(D11/B11,0)</f>
        <v>-0.025</v>
      </c>
      <c r="F11" s="9" t="n">
        <v>800000</v>
      </c>
      <c r="G11" s="9" t="n">
        <v>782000</v>
      </c>
      <c r="H11" s="10" t="n">
        <f aca="false">G11-F11</f>
        <v>-18000</v>
      </c>
      <c r="I11" s="11" t="n">
        <f aca="false">IFERROR(H11/F11,0)</f>
        <v>-0.0225</v>
      </c>
    </row>
    <row r="12" customFormat="false" ht="15" hidden="false" customHeight="false" outlineLevel="0" collapsed="false">
      <c r="A12" s="4" t="s">
        <v>19</v>
      </c>
      <c r="B12" s="5" t="n">
        <v>90000</v>
      </c>
      <c r="C12" s="5" t="n">
        <v>88000</v>
      </c>
      <c r="D12" s="6" t="n">
        <f aca="false">C12-B12</f>
        <v>-2000</v>
      </c>
      <c r="E12" s="7" t="n">
        <f aca="false">IFERROR(D12/B12,0)</f>
        <v>-0.0222222222222222</v>
      </c>
      <c r="F12" s="5" t="n">
        <v>360000</v>
      </c>
      <c r="G12" s="5" t="n">
        <v>355000</v>
      </c>
      <c r="H12" s="6" t="n">
        <f aca="false">G12-F12</f>
        <v>-5000</v>
      </c>
      <c r="I12" s="7" t="n">
        <f aca="false">IFERROR(H12/F12,0)</f>
        <v>-0.0138888888888889</v>
      </c>
    </row>
    <row r="13" customFormat="false" ht="15" hidden="false" customHeight="false" outlineLevel="0" collapsed="false">
      <c r="A13" s="8" t="s">
        <v>20</v>
      </c>
      <c r="B13" s="9" t="n">
        <v>160000</v>
      </c>
      <c r="C13" s="9" t="n">
        <v>157000</v>
      </c>
      <c r="D13" s="10" t="n">
        <f aca="false">C13-B13</f>
        <v>-3000</v>
      </c>
      <c r="E13" s="11" t="n">
        <f aca="false">IFERROR(D13/B13,0)</f>
        <v>-0.01875</v>
      </c>
      <c r="F13" s="9" t="n">
        <v>640000</v>
      </c>
      <c r="G13" s="9" t="n">
        <v>628000</v>
      </c>
      <c r="H13" s="10" t="n">
        <f aca="false">G13-F13</f>
        <v>-12000</v>
      </c>
      <c r="I13" s="11" t="n">
        <f aca="false">IFERROR(H13/F13,0)</f>
        <v>-0.01875</v>
      </c>
    </row>
    <row r="14" customFormat="false" ht="15" hidden="false" customHeight="false" outlineLevel="0" collapsed="false">
      <c r="A14" s="12" t="s">
        <v>21</v>
      </c>
      <c r="B14" s="13" t="n">
        <f aca="false">SUM(B4:B13)</f>
        <v>2690000</v>
      </c>
      <c r="C14" s="13" t="n">
        <f aca="false">SUM(C4:C13)</f>
        <v>2691000</v>
      </c>
      <c r="D14" s="13" t="n">
        <f aca="false">SUM(D4:D13)</f>
        <v>1000</v>
      </c>
      <c r="E14" s="14" t="n">
        <f aca="false">IFERROR(D14/C14,0)</f>
        <v>0.000371609067261241</v>
      </c>
      <c r="F14" s="13" t="n">
        <f aca="false">SUM(F4:F13)</f>
        <v>10740000</v>
      </c>
      <c r="G14" s="13" t="n">
        <f aca="false">SUM(G4:G13)</f>
        <v>10550000</v>
      </c>
      <c r="H14" s="13" t="n">
        <f aca="false">SUM(H4:H13)</f>
        <v>-190000</v>
      </c>
      <c r="I14" s="14" t="n">
        <f aca="false">IFERROR(H14/G14,0)</f>
        <v>-0.0180094786729858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1"/>
    <col collapsed="false" customWidth="true" hidden="false" outlineLevel="0" max="14" min="14" style="0" width="14"/>
  </cols>
  <sheetData>
    <row r="1" customFormat="false" ht="30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.75" hidden="false" customHeight="true" outlineLevel="0" collapsed="false">
      <c r="A2" s="15" t="s">
        <v>23</v>
      </c>
      <c r="B2" s="16" t="s">
        <v>24</v>
      </c>
      <c r="C2" s="16" t="s">
        <v>25</v>
      </c>
      <c r="D2" s="16" t="s">
        <v>26</v>
      </c>
      <c r="E2" s="16" t="s">
        <v>27</v>
      </c>
      <c r="F2" s="16" t="s">
        <v>28</v>
      </c>
      <c r="G2" s="16" t="s">
        <v>29</v>
      </c>
      <c r="H2" s="16" t="s">
        <v>30</v>
      </c>
      <c r="I2" s="16" t="s">
        <v>31</v>
      </c>
      <c r="J2" s="16" t="s">
        <v>32</v>
      </c>
      <c r="K2" s="16" t="s">
        <v>33</v>
      </c>
      <c r="L2" s="16" t="s">
        <v>34</v>
      </c>
      <c r="M2" s="16" t="s">
        <v>35</v>
      </c>
      <c r="N2" s="15" t="s">
        <v>36</v>
      </c>
    </row>
    <row r="3" customFormat="false" ht="15" hidden="false" customHeight="false" outlineLevel="0" collapsed="false">
      <c r="A3" s="17" t="s">
        <v>37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customFormat="false" ht="15" hidden="false" customHeight="false" outlineLevel="0" collapsed="false">
      <c r="A4" s="18" t="s">
        <v>38</v>
      </c>
      <c r="B4" s="5" t="n">
        <v>420000</v>
      </c>
      <c r="C4" s="5" t="n">
        <v>445000</v>
      </c>
      <c r="D4" s="5" t="n">
        <v>390000</v>
      </c>
      <c r="E4" s="5" t="n">
        <v>480000</v>
      </c>
      <c r="F4" s="5" t="n">
        <v>510000</v>
      </c>
      <c r="G4" s="5" t="n">
        <v>495000</v>
      </c>
      <c r="H4" s="5" t="n">
        <v>520000</v>
      </c>
      <c r="I4" s="5" t="n">
        <v>540000</v>
      </c>
      <c r="J4" s="5" t="n">
        <v>488000</v>
      </c>
      <c r="K4" s="5" t="n">
        <v>562000</v>
      </c>
      <c r="L4" s="5" t="n">
        <v>598000</v>
      </c>
      <c r="M4" s="5" t="n">
        <v>630000</v>
      </c>
      <c r="N4" s="19" t="n">
        <f aca="false">SUM(B4:M4)</f>
        <v>6078000</v>
      </c>
    </row>
    <row r="5" customFormat="false" ht="15" hidden="false" customHeight="false" outlineLevel="0" collapsed="false">
      <c r="A5" s="20" t="s">
        <v>39</v>
      </c>
      <c r="B5" s="9" t="n">
        <v>85000</v>
      </c>
      <c r="C5" s="9" t="n">
        <v>90000</v>
      </c>
      <c r="D5" s="9" t="n">
        <v>88000</v>
      </c>
      <c r="E5" s="9" t="n">
        <v>95000</v>
      </c>
      <c r="F5" s="9" t="n">
        <v>100000</v>
      </c>
      <c r="G5" s="9" t="n">
        <v>98000</v>
      </c>
      <c r="H5" s="9" t="n">
        <v>102000</v>
      </c>
      <c r="I5" s="9" t="n">
        <v>108000</v>
      </c>
      <c r="J5" s="9" t="n">
        <v>95000</v>
      </c>
      <c r="K5" s="9" t="n">
        <v>112000</v>
      </c>
      <c r="L5" s="9" t="n">
        <v>118000</v>
      </c>
      <c r="M5" s="9" t="n">
        <v>125000</v>
      </c>
      <c r="N5" s="21" t="n">
        <f aca="false">SUM(B5:M5)</f>
        <v>1216000</v>
      </c>
    </row>
    <row r="6" customFormat="false" ht="15" hidden="false" customHeight="false" outlineLevel="0" collapsed="false">
      <c r="A6" s="18" t="s">
        <v>40</v>
      </c>
      <c r="B6" s="5" t="n">
        <v>12000</v>
      </c>
      <c r="C6" s="5" t="n">
        <v>10000</v>
      </c>
      <c r="D6" s="5" t="n">
        <v>15000</v>
      </c>
      <c r="E6" s="5" t="n">
        <v>8000</v>
      </c>
      <c r="F6" s="5" t="n">
        <v>14000</v>
      </c>
      <c r="G6" s="5" t="n">
        <v>10000</v>
      </c>
      <c r="H6" s="5" t="n">
        <v>12000</v>
      </c>
      <c r="I6" s="5" t="n">
        <v>11000</v>
      </c>
      <c r="J6" s="5" t="n">
        <v>10000</v>
      </c>
      <c r="K6" s="5" t="n">
        <v>14000</v>
      </c>
      <c r="L6" s="5" t="n">
        <v>12000</v>
      </c>
      <c r="M6" s="5" t="n">
        <v>15000</v>
      </c>
      <c r="N6" s="19" t="n">
        <f aca="false">SUM(B6:M6)</f>
        <v>143000</v>
      </c>
    </row>
    <row r="7" customFormat="false" ht="15" hidden="false" customHeight="false" outlineLevel="0" collapsed="false">
      <c r="A7" s="22" t="s">
        <v>41</v>
      </c>
      <c r="B7" s="13" t="n">
        <f aca="false">B4+B5+B6</f>
        <v>517000</v>
      </c>
      <c r="C7" s="13" t="n">
        <f aca="false">C4+C5+C6</f>
        <v>545000</v>
      </c>
      <c r="D7" s="13" t="n">
        <f aca="false">D4+D5+D6</f>
        <v>493000</v>
      </c>
      <c r="E7" s="13" t="n">
        <f aca="false">E4+E5+E6</f>
        <v>583000</v>
      </c>
      <c r="F7" s="13" t="n">
        <f aca="false">F4+F5+F6</f>
        <v>624000</v>
      </c>
      <c r="G7" s="13" t="n">
        <f aca="false">G4+G5+G6</f>
        <v>603000</v>
      </c>
      <c r="H7" s="13" t="n">
        <f aca="false">H4+H5+H6</f>
        <v>634000</v>
      </c>
      <c r="I7" s="13" t="n">
        <f aca="false">I4+I5+I6</f>
        <v>659000</v>
      </c>
      <c r="J7" s="13" t="n">
        <f aca="false">J4+J5+J6</f>
        <v>593000</v>
      </c>
      <c r="K7" s="13" t="n">
        <f aca="false">K4+K5+K6</f>
        <v>688000</v>
      </c>
      <c r="L7" s="13" t="n">
        <f aca="false">L4+L5+L6</f>
        <v>728000</v>
      </c>
      <c r="M7" s="13" t="n">
        <f aca="false">M4+M5+M6</f>
        <v>770000</v>
      </c>
      <c r="N7" s="13" t="n">
        <f aca="false">N4+N5+N6</f>
        <v>7437000</v>
      </c>
    </row>
    <row r="9" customFormat="false" ht="15" hidden="false" customHeight="false" outlineLevel="0" collapsed="false">
      <c r="A9" s="23" t="s">
        <v>42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customFormat="false" ht="15" hidden="false" customHeight="false" outlineLevel="0" collapsed="false">
      <c r="A10" s="18" t="s">
        <v>43</v>
      </c>
      <c r="B10" s="5" t="n">
        <v>280000</v>
      </c>
      <c r="C10" s="5" t="n">
        <v>280000</v>
      </c>
      <c r="D10" s="5" t="n">
        <v>280000</v>
      </c>
      <c r="E10" s="5" t="n">
        <v>285000</v>
      </c>
      <c r="F10" s="5" t="n">
        <v>285000</v>
      </c>
      <c r="G10" s="5" t="n">
        <v>285000</v>
      </c>
      <c r="H10" s="5" t="n">
        <v>290000</v>
      </c>
      <c r="I10" s="5" t="n">
        <v>290000</v>
      </c>
      <c r="J10" s="5" t="n">
        <v>290000</v>
      </c>
      <c r="K10" s="5" t="n">
        <v>295000</v>
      </c>
      <c r="L10" s="5" t="n">
        <v>295000</v>
      </c>
      <c r="M10" s="5" t="n">
        <v>295000</v>
      </c>
      <c r="N10" s="19" t="n">
        <f aca="false">SUM(B10:M10)</f>
        <v>3450000</v>
      </c>
    </row>
    <row r="11" customFormat="false" ht="15" hidden="false" customHeight="false" outlineLevel="0" collapsed="false">
      <c r="A11" s="20" t="s">
        <v>44</v>
      </c>
      <c r="B11" s="9" t="n">
        <v>45000</v>
      </c>
      <c r="C11" s="9" t="n">
        <v>45000</v>
      </c>
      <c r="D11" s="9" t="n">
        <v>45000</v>
      </c>
      <c r="E11" s="9" t="n">
        <v>46000</v>
      </c>
      <c r="F11" s="9" t="n">
        <v>46000</v>
      </c>
      <c r="G11" s="9" t="n">
        <v>46000</v>
      </c>
      <c r="H11" s="9" t="n">
        <v>47000</v>
      </c>
      <c r="I11" s="9" t="n">
        <v>47000</v>
      </c>
      <c r="J11" s="9" t="n">
        <v>47000</v>
      </c>
      <c r="K11" s="9" t="n">
        <v>48000</v>
      </c>
      <c r="L11" s="9" t="n">
        <v>48000</v>
      </c>
      <c r="M11" s="9" t="n">
        <v>48000</v>
      </c>
      <c r="N11" s="21" t="n">
        <f aca="false">SUM(B11:M11)</f>
        <v>558000</v>
      </c>
    </row>
    <row r="12" customFormat="false" ht="15" hidden="false" customHeight="false" outlineLevel="0" collapsed="false">
      <c r="A12" s="18" t="s">
        <v>45</v>
      </c>
      <c r="B12" s="5" t="n">
        <v>35000</v>
      </c>
      <c r="C12" s="5" t="n">
        <v>40000</v>
      </c>
      <c r="D12" s="5" t="n">
        <v>38000</v>
      </c>
      <c r="E12" s="5" t="n">
        <v>42000</v>
      </c>
      <c r="F12" s="5" t="n">
        <v>50000</v>
      </c>
      <c r="G12" s="5" t="n">
        <v>45000</v>
      </c>
      <c r="H12" s="5" t="n">
        <v>48000</v>
      </c>
      <c r="I12" s="5" t="n">
        <v>52000</v>
      </c>
      <c r="J12" s="5" t="n">
        <v>38000</v>
      </c>
      <c r="K12" s="5" t="n">
        <v>55000</v>
      </c>
      <c r="L12" s="5" t="n">
        <v>60000</v>
      </c>
      <c r="M12" s="5" t="n">
        <v>65000</v>
      </c>
      <c r="N12" s="19" t="n">
        <f aca="false">SUM(B12:M12)</f>
        <v>568000</v>
      </c>
    </row>
    <row r="13" customFormat="false" ht="15" hidden="false" customHeight="false" outlineLevel="0" collapsed="false">
      <c r="A13" s="20" t="s">
        <v>46</v>
      </c>
      <c r="B13" s="9" t="n">
        <v>180000</v>
      </c>
      <c r="C13" s="9" t="n">
        <v>195000</v>
      </c>
      <c r="D13" s="9" t="n">
        <v>170000</v>
      </c>
      <c r="E13" s="9" t="n">
        <v>210000</v>
      </c>
      <c r="F13" s="9" t="n">
        <v>225000</v>
      </c>
      <c r="G13" s="9" t="n">
        <v>215000</v>
      </c>
      <c r="H13" s="9" t="n">
        <v>228000</v>
      </c>
      <c r="I13" s="9" t="n">
        <v>236000</v>
      </c>
      <c r="J13" s="9" t="n">
        <v>210000</v>
      </c>
      <c r="K13" s="9" t="n">
        <v>246000</v>
      </c>
      <c r="L13" s="9" t="n">
        <v>262000</v>
      </c>
      <c r="M13" s="9" t="n">
        <v>278000</v>
      </c>
      <c r="N13" s="21" t="n">
        <f aca="false">SUM(B13:M13)</f>
        <v>2655000</v>
      </c>
    </row>
    <row r="14" customFormat="false" ht="15" hidden="false" customHeight="false" outlineLevel="0" collapsed="false">
      <c r="A14" s="18" t="s">
        <v>47</v>
      </c>
      <c r="B14" s="5" t="n">
        <v>28000</v>
      </c>
      <c r="C14" s="5" t="n">
        <v>28000</v>
      </c>
      <c r="D14" s="5" t="n">
        <v>29000</v>
      </c>
      <c r="E14" s="5" t="n">
        <v>30000</v>
      </c>
      <c r="F14" s="5" t="n">
        <v>30000</v>
      </c>
      <c r="G14" s="5" t="n">
        <v>31000</v>
      </c>
      <c r="H14" s="5" t="n">
        <v>31000</v>
      </c>
      <c r="I14" s="5" t="n">
        <v>32000</v>
      </c>
      <c r="J14" s="5" t="n">
        <v>32000</v>
      </c>
      <c r="K14" s="5" t="n">
        <v>33000</v>
      </c>
      <c r="L14" s="5" t="n">
        <v>33000</v>
      </c>
      <c r="M14" s="5" t="n">
        <v>34000</v>
      </c>
      <c r="N14" s="19" t="n">
        <f aca="false">SUM(B14:M14)</f>
        <v>371000</v>
      </c>
    </row>
    <row r="15" customFormat="false" ht="15" hidden="false" customHeight="false" outlineLevel="0" collapsed="false">
      <c r="A15" s="20" t="s">
        <v>48</v>
      </c>
      <c r="B15" s="9" t="n">
        <v>20000</v>
      </c>
      <c r="C15" s="9" t="n">
        <v>15000</v>
      </c>
      <c r="D15" s="9" t="n">
        <v>40000</v>
      </c>
      <c r="E15" s="9" t="n">
        <v>10000</v>
      </c>
      <c r="F15" s="9" t="n">
        <v>12000</v>
      </c>
      <c r="G15" s="9" t="n">
        <v>30000</v>
      </c>
      <c r="H15" s="9" t="n">
        <v>15000</v>
      </c>
      <c r="I15" s="9" t="n">
        <v>20000</v>
      </c>
      <c r="J15" s="9" t="n">
        <v>10000</v>
      </c>
      <c r="K15" s="9" t="n">
        <v>25000</v>
      </c>
      <c r="L15" s="9" t="n">
        <v>18000</v>
      </c>
      <c r="M15" s="9" t="n">
        <v>35000</v>
      </c>
      <c r="N15" s="21" t="n">
        <f aca="false">SUM(B15:M15)</f>
        <v>250000</v>
      </c>
    </row>
    <row r="16" customFormat="false" ht="15" hidden="false" customHeight="false" outlineLevel="0" collapsed="false">
      <c r="A16" s="22" t="s">
        <v>49</v>
      </c>
      <c r="B16" s="13" t="n">
        <f aca="false">B10+B11+B12+B13+B14+B15</f>
        <v>588000</v>
      </c>
      <c r="C16" s="13" t="n">
        <f aca="false">C10+C11+C12+C13+C14+C15</f>
        <v>603000</v>
      </c>
      <c r="D16" s="13" t="n">
        <f aca="false">D10+D11+D12+D13+D14+D15</f>
        <v>602000</v>
      </c>
      <c r="E16" s="13" t="n">
        <f aca="false">E10+E11+E12+E13+E14+E15</f>
        <v>623000</v>
      </c>
      <c r="F16" s="13" t="n">
        <f aca="false">F10+F11+F12+F13+F14+F15</f>
        <v>648000</v>
      </c>
      <c r="G16" s="13" t="n">
        <f aca="false">G10+G11+G12+G13+G14+G15</f>
        <v>652000</v>
      </c>
      <c r="H16" s="13" t="n">
        <f aca="false">H10+H11+H12+H13+H14+H15</f>
        <v>659000</v>
      </c>
      <c r="I16" s="13" t="n">
        <f aca="false">I10+I11+I12+I13+I14+I15</f>
        <v>677000</v>
      </c>
      <c r="J16" s="13" t="n">
        <f aca="false">J10+J11+J12+J13+J14+J15</f>
        <v>627000</v>
      </c>
      <c r="K16" s="13" t="n">
        <f aca="false">K10+K11+K12+K13+K14+K15</f>
        <v>702000</v>
      </c>
      <c r="L16" s="13" t="n">
        <f aca="false">L10+L11+L12+L13+L14+L15</f>
        <v>716000</v>
      </c>
      <c r="M16" s="13" t="n">
        <f aca="false">M10+M11+M12+M13+M14+M15</f>
        <v>755000</v>
      </c>
      <c r="N16" s="13" t="n">
        <f aca="false">N10+N11+N12+N13+N14+N15</f>
        <v>7852000</v>
      </c>
    </row>
    <row r="18" customFormat="false" ht="21.75" hidden="false" customHeight="true" outlineLevel="0" collapsed="false">
      <c r="A18" s="24" t="s">
        <v>50</v>
      </c>
      <c r="B18" s="25" t="n">
        <f aca="false">B7-B16</f>
        <v>-71000</v>
      </c>
      <c r="C18" s="25" t="n">
        <f aca="false">C7-C16</f>
        <v>-58000</v>
      </c>
      <c r="D18" s="25" t="n">
        <f aca="false">D7-D16</f>
        <v>-109000</v>
      </c>
      <c r="E18" s="25" t="n">
        <f aca="false">E7-E16</f>
        <v>-40000</v>
      </c>
      <c r="F18" s="25" t="n">
        <f aca="false">F7-F16</f>
        <v>-24000</v>
      </c>
      <c r="G18" s="25" t="n">
        <f aca="false">G7-G16</f>
        <v>-49000</v>
      </c>
      <c r="H18" s="25" t="n">
        <f aca="false">H7-H16</f>
        <v>-25000</v>
      </c>
      <c r="I18" s="25" t="n">
        <f aca="false">I7-I16</f>
        <v>-18000</v>
      </c>
      <c r="J18" s="25" t="n">
        <f aca="false">J7-J16</f>
        <v>-34000</v>
      </c>
      <c r="K18" s="25" t="n">
        <f aca="false">K7-K16</f>
        <v>-14000</v>
      </c>
      <c r="L18" s="25" t="n">
        <f aca="false">L7-L16</f>
        <v>12000</v>
      </c>
      <c r="M18" s="25" t="n">
        <f aca="false">M7-M16</f>
        <v>15000</v>
      </c>
      <c r="N18" s="25" t="n">
        <f aca="false">N7-N16</f>
        <v>-415000</v>
      </c>
    </row>
  </sheetData>
  <mergeCells count="3">
    <mergeCell ref="A1:N1"/>
    <mergeCell ref="A3:N3"/>
    <mergeCell ref="A9:N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</cols>
  <sheetData>
    <row r="1" customFormat="false" ht="30" hidden="false" customHeight="true" outlineLevel="0" collapsed="false">
      <c r="A1" s="1" t="s">
        <v>51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6" t="s">
        <v>23</v>
      </c>
      <c r="B2" s="16" t="s">
        <v>52</v>
      </c>
      <c r="C2" s="16" t="s">
        <v>53</v>
      </c>
      <c r="D2" s="16" t="s">
        <v>54</v>
      </c>
      <c r="E2" s="16" t="s">
        <v>55</v>
      </c>
      <c r="F2" s="16" t="s">
        <v>56</v>
      </c>
    </row>
    <row r="3" customFormat="false" ht="15" hidden="false" customHeight="false" outlineLevel="0" collapsed="false">
      <c r="A3" s="26" t="s">
        <v>57</v>
      </c>
      <c r="B3" s="9" t="n">
        <v>850000</v>
      </c>
      <c r="C3" s="9" t="n">
        <v>865000</v>
      </c>
      <c r="D3" s="9" t="n">
        <v>878000</v>
      </c>
      <c r="E3" s="9" t="n">
        <v>905000</v>
      </c>
      <c r="F3" s="21" t="n">
        <f aca="false">SUM(B3:E3)</f>
        <v>3498000</v>
      </c>
    </row>
    <row r="4" customFormat="false" ht="15" hidden="false" customHeight="false" outlineLevel="0" collapsed="false">
      <c r="A4" s="27" t="s">
        <v>58</v>
      </c>
      <c r="B4" s="5" t="n">
        <v>135000</v>
      </c>
      <c r="C4" s="5" t="n">
        <v>138000</v>
      </c>
      <c r="D4" s="5" t="n">
        <v>141000</v>
      </c>
      <c r="E4" s="5" t="n">
        <v>144000</v>
      </c>
      <c r="F4" s="19" t="n">
        <f aca="false">SUM(B4:E4)</f>
        <v>558000</v>
      </c>
    </row>
    <row r="5" customFormat="false" ht="15" hidden="false" customHeight="false" outlineLevel="0" collapsed="false">
      <c r="A5" s="26" t="s">
        <v>59</v>
      </c>
      <c r="B5" s="9" t="n">
        <v>195000</v>
      </c>
      <c r="C5" s="9" t="n">
        <v>202000</v>
      </c>
      <c r="D5" s="9" t="n">
        <v>198000</v>
      </c>
      <c r="E5" s="9" t="n">
        <v>215000</v>
      </c>
      <c r="F5" s="21" t="n">
        <f aca="false">SUM(B5:E5)</f>
        <v>810000</v>
      </c>
    </row>
    <row r="6" customFormat="false" ht="15" hidden="false" customHeight="false" outlineLevel="0" collapsed="false">
      <c r="A6" s="27" t="s">
        <v>60</v>
      </c>
      <c r="B6" s="5" t="n">
        <v>155000</v>
      </c>
      <c r="C6" s="5" t="n">
        <v>168000</v>
      </c>
      <c r="D6" s="5" t="n">
        <v>158000</v>
      </c>
      <c r="E6" s="5" t="n">
        <v>215000</v>
      </c>
      <c r="F6" s="19" t="n">
        <f aca="false">SUM(B6:E6)</f>
        <v>696000</v>
      </c>
    </row>
    <row r="7" customFormat="false" ht="15" hidden="false" customHeight="false" outlineLevel="0" collapsed="false">
      <c r="A7" s="26" t="s">
        <v>61</v>
      </c>
      <c r="B7" s="9" t="n">
        <v>745000</v>
      </c>
      <c r="C7" s="9" t="n">
        <v>822000</v>
      </c>
      <c r="D7" s="9" t="n">
        <v>874000</v>
      </c>
      <c r="E7" s="9" t="n">
        <v>963000</v>
      </c>
      <c r="F7" s="21" t="n">
        <f aca="false">SUM(B7:E7)</f>
        <v>3404000</v>
      </c>
    </row>
    <row r="8" customFormat="false" ht="15" hidden="false" customHeight="false" outlineLevel="0" collapsed="false">
      <c r="A8" s="27" t="s">
        <v>62</v>
      </c>
      <c r="B8" s="5" t="n">
        <v>28000</v>
      </c>
      <c r="C8" s="5" t="n">
        <v>32000</v>
      </c>
      <c r="D8" s="5" t="n">
        <v>25000</v>
      </c>
      <c r="E8" s="5" t="n">
        <v>38000</v>
      </c>
      <c r="F8" s="19" t="n">
        <f aca="false">SUM(B8:E8)</f>
        <v>123000</v>
      </c>
    </row>
    <row r="9" customFormat="false" ht="15" hidden="false" customHeight="false" outlineLevel="0" collapsed="false">
      <c r="A9" s="26" t="s">
        <v>63</v>
      </c>
      <c r="B9" s="9" t="n">
        <v>42000</v>
      </c>
      <c r="C9" s="9" t="n">
        <v>45000</v>
      </c>
      <c r="D9" s="9" t="n">
        <v>48000</v>
      </c>
      <c r="E9" s="9" t="n">
        <v>52000</v>
      </c>
      <c r="F9" s="21" t="n">
        <f aca="false">SUM(B9:E9)</f>
        <v>187000</v>
      </c>
    </row>
    <row r="10" customFormat="false" ht="15" hidden="false" customHeight="false" outlineLevel="0" collapsed="false">
      <c r="A10" s="27" t="s">
        <v>64</v>
      </c>
      <c r="B10" s="5" t="n">
        <v>105000</v>
      </c>
      <c r="C10" s="5" t="n">
        <v>112000</v>
      </c>
      <c r="D10" s="5" t="n">
        <v>118000</v>
      </c>
      <c r="E10" s="5" t="n">
        <v>125000</v>
      </c>
      <c r="F10" s="19" t="n">
        <f aca="false">SUM(B10:E10)</f>
        <v>460000</v>
      </c>
    </row>
    <row r="11" customFormat="false" ht="15" hidden="false" customHeight="false" outlineLevel="0" collapsed="false">
      <c r="A11" s="26" t="s">
        <v>65</v>
      </c>
      <c r="B11" s="9" t="n">
        <v>38000</v>
      </c>
      <c r="C11" s="9" t="n">
        <v>38000</v>
      </c>
      <c r="D11" s="9" t="n">
        <v>38000</v>
      </c>
      <c r="E11" s="9" t="n">
        <v>38000</v>
      </c>
      <c r="F11" s="21" t="n">
        <f aca="false">SUM(B11:E11)</f>
        <v>152000</v>
      </c>
    </row>
    <row r="12" customFormat="false" ht="15" hidden="false" customHeight="false" outlineLevel="0" collapsed="false">
      <c r="A12" s="27" t="s">
        <v>66</v>
      </c>
      <c r="B12" s="5" t="n">
        <v>22000</v>
      </c>
      <c r="C12" s="5" t="n">
        <v>25000</v>
      </c>
      <c r="D12" s="5" t="n">
        <v>21000</v>
      </c>
      <c r="E12" s="5" t="n">
        <v>28000</v>
      </c>
      <c r="F12" s="19" t="n">
        <f aca="false">SUM(B12:E12)</f>
        <v>96000</v>
      </c>
    </row>
    <row r="13" customFormat="false" ht="15" hidden="false" customHeight="false" outlineLevel="0" collapsed="false">
      <c r="A13" s="28" t="s">
        <v>67</v>
      </c>
      <c r="B13" s="13" t="n">
        <f aca="false">SUM(B3:B12)</f>
        <v>2315000</v>
      </c>
      <c r="C13" s="13" t="n">
        <f aca="false">SUM(C3:C12)</f>
        <v>2447000</v>
      </c>
      <c r="D13" s="13" t="n">
        <f aca="false">SUM(D3:D12)</f>
        <v>2499000</v>
      </c>
      <c r="E13" s="13" t="n">
        <f aca="false">SUM(E3:E12)</f>
        <v>2723000</v>
      </c>
      <c r="F13" s="13" t="n">
        <f aca="false">SUM(F3:F12)</f>
        <v>9984000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  <col collapsed="false" customWidth="true" hidden="false" outlineLevel="0" max="5" min="5" style="0" width="20"/>
  </cols>
  <sheetData>
    <row r="1" customFormat="false" ht="30" hidden="false" customHeight="true" outlineLevel="0" collapsed="false">
      <c r="A1" s="1" t="s">
        <v>68</v>
      </c>
      <c r="B1" s="1"/>
      <c r="C1" s="1"/>
      <c r="D1" s="1"/>
      <c r="E1" s="1"/>
    </row>
    <row r="2" customFormat="false" ht="15" hidden="false" customHeight="false" outlineLevel="0" collapsed="false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73</v>
      </c>
    </row>
    <row r="3" customFormat="false" ht="15" hidden="false" customHeight="false" outlineLevel="0" collapsed="false">
      <c r="A3" s="26" t="s">
        <v>74</v>
      </c>
      <c r="B3" s="29" t="s">
        <v>75</v>
      </c>
      <c r="C3" s="29" t="s">
        <v>76</v>
      </c>
      <c r="D3" s="30" t="n">
        <f aca="false">C3-B3</f>
        <v>-0.670000000000002</v>
      </c>
      <c r="E3" s="31" t="str">
        <f aca="false">IF(D3&gt;=0,"✓ On Track","✗ Below Target")</f>
        <v>✗ Below Target</v>
      </c>
    </row>
    <row r="4" customFormat="false" ht="15" hidden="false" customHeight="false" outlineLevel="0" collapsed="false">
      <c r="A4" s="27" t="s">
        <v>77</v>
      </c>
      <c r="B4" s="32" t="s">
        <v>78</v>
      </c>
      <c r="C4" s="32" t="s">
        <v>79</v>
      </c>
      <c r="D4" s="33" t="n">
        <f aca="false">C4-B4</f>
        <v>0.360000000000001</v>
      </c>
      <c r="E4" s="34" t="str">
        <f aca="false">IF(D4&lt;=0,"✓ On Track","✗ Over Budget")</f>
        <v>✗ Over Budget</v>
      </c>
    </row>
    <row r="5" customFormat="false" ht="15" hidden="false" customHeight="false" outlineLevel="0" collapsed="false">
      <c r="A5" s="26" t="s">
        <v>80</v>
      </c>
      <c r="B5" s="29" t="s">
        <v>81</v>
      </c>
      <c r="C5" s="29" t="s">
        <v>82</v>
      </c>
      <c r="D5" s="30" t="n">
        <f aca="false">C5-B5</f>
        <v>-0.012</v>
      </c>
      <c r="E5" s="31" t="str">
        <f aca="false">IF(D5&gt;=-0.02,"✓ On Track","✗ Below Target")</f>
        <v>✓ On Track</v>
      </c>
    </row>
    <row r="6" customFormat="false" ht="15" hidden="false" customHeight="false" outlineLevel="0" collapsed="false">
      <c r="A6" s="27" t="s">
        <v>83</v>
      </c>
      <c r="B6" s="32" t="s">
        <v>84</v>
      </c>
      <c r="C6" s="32" t="s">
        <v>85</v>
      </c>
      <c r="D6" s="33" t="n">
        <f aca="false">C6-B6</f>
        <v>-0.016</v>
      </c>
      <c r="E6" s="34" t="str">
        <f aca="false">IF(D6&gt;=-0.02,"✓ On Track","✗ Below Target")</f>
        <v>✓ On Track</v>
      </c>
    </row>
    <row r="7" customFormat="false" ht="15" hidden="false" customHeight="false" outlineLevel="0" collapsed="false">
      <c r="A7" s="26" t="s">
        <v>86</v>
      </c>
      <c r="B7" s="29" t="s">
        <v>87</v>
      </c>
      <c r="C7" s="29" t="s">
        <v>88</v>
      </c>
      <c r="D7" s="30" t="n">
        <f aca="false">C7-B7</f>
        <v>-0.68</v>
      </c>
      <c r="E7" s="31" t="str">
        <f aca="false">IF(D7&gt;=0,"✓ On Track","✗ Below Target")</f>
        <v>✗ Below Target</v>
      </c>
    </row>
    <row r="8" customFormat="false" ht="15" hidden="false" customHeight="false" outlineLevel="0" collapsed="false">
      <c r="A8" s="27" t="s">
        <v>89</v>
      </c>
      <c r="B8" s="32" t="s">
        <v>90</v>
      </c>
      <c r="C8" s="32" t="s">
        <v>91</v>
      </c>
      <c r="D8" s="33" t="n">
        <f aca="false">C8-B8</f>
        <v>-0.00700000000000001</v>
      </c>
      <c r="E8" s="34" t="str">
        <f aca="false">IF(ABS(D8)&lt;=0.03,"✓ On Track","⚠ Review Needed")</f>
        <v>✓ On Track</v>
      </c>
    </row>
    <row r="9" customFormat="false" ht="15" hidden="false" customHeight="false" outlineLevel="0" collapsed="false">
      <c r="A9" s="26" t="s">
        <v>92</v>
      </c>
      <c r="B9" s="29" t="s">
        <v>93</v>
      </c>
      <c r="C9" s="29" t="s">
        <v>94</v>
      </c>
      <c r="D9" s="30" t="n">
        <f aca="false">C9-B9</f>
        <v>2.40000000000001</v>
      </c>
      <c r="E9" s="31" t="str">
        <f aca="false">IF(D9&lt;=0,"✓ On Track","✗ Over Budget")</f>
        <v>✗ Over Budget</v>
      </c>
    </row>
    <row r="10" customFormat="false" ht="15" hidden="false" customHeight="false" outlineLevel="0" collapsed="false">
      <c r="A10" s="27" t="s">
        <v>95</v>
      </c>
      <c r="B10" s="32" t="s">
        <v>96</v>
      </c>
      <c r="C10" s="32" t="s">
        <v>97</v>
      </c>
      <c r="D10" s="33" t="n">
        <f aca="false">C10-B10</f>
        <v>-4.80000000000001</v>
      </c>
      <c r="E10" s="34" t="str">
        <f aca="false">IF(D10&gt;=0,"✓ On Track","✗ Below Target")</f>
        <v>✗ Below Target</v>
      </c>
    </row>
    <row r="11" customFormat="false" ht="15" hidden="false" customHeight="false" outlineLevel="0" collapsed="false">
      <c r="A11" s="26" t="s">
        <v>98</v>
      </c>
      <c r="B11" s="29" t="s">
        <v>99</v>
      </c>
      <c r="C11" s="29" t="s">
        <v>100</v>
      </c>
      <c r="D11" s="30" t="n">
        <f aca="false">C11-B11</f>
        <v>-0.022</v>
      </c>
      <c r="E11" s="31" t="str">
        <f aca="false">IF(D11&gt;=-0.03,"✓ On Track","✗ Below Target")</f>
        <v>✓ On Track</v>
      </c>
    </row>
    <row r="12" customFormat="false" ht="15" hidden="false" customHeight="false" outlineLevel="0" collapsed="false">
      <c r="A12" s="27" t="s">
        <v>101</v>
      </c>
      <c r="B12" s="32" t="s">
        <v>102</v>
      </c>
      <c r="C12" s="32" t="s">
        <v>103</v>
      </c>
      <c r="D12" s="33" t="n">
        <f aca="false">C12-B12</f>
        <v>-0.15</v>
      </c>
      <c r="E12" s="34" t="str">
        <f aca="false">IF(D12&gt;=-0.1,"✓ On Track","✗ Below Target")</f>
        <v>✗ Below Target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6"/>
  </cols>
  <sheetData>
    <row r="1" customFormat="false" ht="30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35" t="s">
        <v>105</v>
      </c>
      <c r="B2" s="35"/>
      <c r="C2" s="35"/>
      <c r="D2" s="35"/>
      <c r="E2" s="35"/>
      <c r="F2" s="35"/>
      <c r="G2" s="35"/>
    </row>
    <row r="3" customFormat="false" ht="34.5" hidden="false" customHeight="true" outlineLevel="0" collapsed="false">
      <c r="A3" s="3" t="s">
        <v>2</v>
      </c>
      <c r="B3" s="3" t="s">
        <v>106</v>
      </c>
      <c r="C3" s="3" t="s">
        <v>107</v>
      </c>
      <c r="D3" s="3" t="s">
        <v>108</v>
      </c>
      <c r="E3" s="3" t="s">
        <v>109</v>
      </c>
      <c r="F3" s="3" t="s">
        <v>110</v>
      </c>
      <c r="G3" s="3" t="s">
        <v>111</v>
      </c>
    </row>
    <row r="4" customFormat="false" ht="15" hidden="false" customHeight="false" outlineLevel="0" collapsed="false">
      <c r="A4" s="27" t="s">
        <v>11</v>
      </c>
      <c r="B4" s="36" t="n">
        <v>42</v>
      </c>
      <c r="C4" s="5" t="n">
        <v>1800000</v>
      </c>
      <c r="D4" s="37" t="n">
        <f aca="false">IFERROR(C4/B4,0)</f>
        <v>42857.1428571429</v>
      </c>
      <c r="E4" s="38" t="n">
        <f aca="false">IFERROR(C4/SUM($C$4:$C$13),0)</f>
        <v>0.167597765363128</v>
      </c>
      <c r="F4" s="5" t="n">
        <v>1650000</v>
      </c>
      <c r="G4" s="38" t="n">
        <f aca="false">IFERROR((C4-F4)/F4,0)</f>
        <v>0.0909090909090909</v>
      </c>
    </row>
    <row r="5" customFormat="false" ht="15" hidden="false" customHeight="false" outlineLevel="0" collapsed="false">
      <c r="A5" s="26" t="s">
        <v>12</v>
      </c>
      <c r="B5" s="39" t="n">
        <v>18</v>
      </c>
      <c r="C5" s="9" t="n">
        <v>1200000</v>
      </c>
      <c r="D5" s="40" t="n">
        <f aca="false">IFERROR(C5/B5,0)</f>
        <v>66666.6666666667</v>
      </c>
      <c r="E5" s="41" t="n">
        <f aca="false">IFERROR(C5/SUM($C$4:$C$13),0)</f>
        <v>0.111731843575419</v>
      </c>
      <c r="F5" s="9" t="n">
        <v>1100000</v>
      </c>
      <c r="G5" s="41" t="n">
        <f aca="false">IFERROR((C5-F5)/F5,0)</f>
        <v>0.0909090909090909</v>
      </c>
    </row>
    <row r="6" customFormat="false" ht="15" hidden="false" customHeight="false" outlineLevel="0" collapsed="false">
      <c r="A6" s="27" t="s">
        <v>13</v>
      </c>
      <c r="B6" s="36" t="n">
        <v>65</v>
      </c>
      <c r="C6" s="5" t="n">
        <v>2100000</v>
      </c>
      <c r="D6" s="37" t="n">
        <f aca="false">IFERROR(C6/B6,0)</f>
        <v>32307.6923076923</v>
      </c>
      <c r="E6" s="38" t="n">
        <f aca="false">IFERROR(C6/SUM($C$4:$C$13),0)</f>
        <v>0.195530726256983</v>
      </c>
      <c r="F6" s="5" t="n">
        <v>1950000</v>
      </c>
      <c r="G6" s="38" t="n">
        <f aca="false">IFERROR((C6-F6)/F6,0)</f>
        <v>0.0769230769230769</v>
      </c>
    </row>
    <row r="7" customFormat="false" ht="15" hidden="false" customHeight="false" outlineLevel="0" collapsed="false">
      <c r="A7" s="26" t="s">
        <v>14</v>
      </c>
      <c r="B7" s="39" t="n">
        <v>12</v>
      </c>
      <c r="C7" s="9" t="n">
        <v>720000</v>
      </c>
      <c r="D7" s="40" t="n">
        <f aca="false">IFERROR(C7/B7,0)</f>
        <v>60000</v>
      </c>
      <c r="E7" s="41" t="n">
        <f aca="false">IFERROR(C7/SUM($C$4:$C$13),0)</f>
        <v>0.0670391061452514</v>
      </c>
      <c r="F7" s="9" t="n">
        <v>680000</v>
      </c>
      <c r="G7" s="41" t="n">
        <f aca="false">IFERROR((C7-F7)/F7,0)</f>
        <v>0.0588235294117647</v>
      </c>
    </row>
    <row r="8" customFormat="false" ht="15" hidden="false" customHeight="false" outlineLevel="0" collapsed="false">
      <c r="A8" s="27" t="s">
        <v>15</v>
      </c>
      <c r="B8" s="36" t="n">
        <v>28</v>
      </c>
      <c r="C8" s="5" t="n">
        <v>1040000</v>
      </c>
      <c r="D8" s="37" t="n">
        <f aca="false">IFERROR(C8/B8,0)</f>
        <v>37142.8571428571</v>
      </c>
      <c r="E8" s="38" t="n">
        <f aca="false">IFERROR(C8/SUM($C$4:$C$13),0)</f>
        <v>0.0968342644320298</v>
      </c>
      <c r="F8" s="5" t="n">
        <v>960000</v>
      </c>
      <c r="G8" s="38" t="n">
        <f aca="false">IFERROR((C8-F8)/F8,0)</f>
        <v>0.0833333333333333</v>
      </c>
    </row>
    <row r="9" customFormat="false" ht="15" hidden="false" customHeight="false" outlineLevel="0" collapsed="false">
      <c r="A9" s="26" t="s">
        <v>16</v>
      </c>
      <c r="B9" s="39" t="n">
        <v>10</v>
      </c>
      <c r="C9" s="9" t="n">
        <v>560000</v>
      </c>
      <c r="D9" s="40" t="n">
        <f aca="false">IFERROR(C9/B9,0)</f>
        <v>56000</v>
      </c>
      <c r="E9" s="41" t="n">
        <f aca="false">IFERROR(C9/SUM($C$4:$C$13),0)</f>
        <v>0.0521415270018622</v>
      </c>
      <c r="F9" s="9" t="n">
        <v>520000</v>
      </c>
      <c r="G9" s="41" t="n">
        <f aca="false">IFERROR((C9-F9)/F9,0)</f>
        <v>0.0769230769230769</v>
      </c>
    </row>
    <row r="10" customFormat="false" ht="15" hidden="false" customHeight="false" outlineLevel="0" collapsed="false">
      <c r="A10" s="27" t="s">
        <v>17</v>
      </c>
      <c r="B10" s="36" t="n">
        <v>35</v>
      </c>
      <c r="C10" s="5" t="n">
        <v>1520000</v>
      </c>
      <c r="D10" s="37" t="n">
        <f aca="false">IFERROR(C10/B10,0)</f>
        <v>43428.5714285714</v>
      </c>
      <c r="E10" s="38" t="n">
        <f aca="false">IFERROR(C10/SUM($C$4:$C$13),0)</f>
        <v>0.141527001862197</v>
      </c>
      <c r="F10" s="5" t="n">
        <v>1380000</v>
      </c>
      <c r="G10" s="38" t="n">
        <f aca="false">IFERROR((C10-F10)/F10,0)</f>
        <v>0.101449275362319</v>
      </c>
    </row>
    <row r="11" customFormat="false" ht="15" hidden="false" customHeight="false" outlineLevel="0" collapsed="false">
      <c r="A11" s="26" t="s">
        <v>18</v>
      </c>
      <c r="B11" s="39" t="n">
        <v>30</v>
      </c>
      <c r="C11" s="9" t="n">
        <v>800000</v>
      </c>
      <c r="D11" s="40" t="n">
        <f aca="false">IFERROR(C11/B11,0)</f>
        <v>26666.6666666667</v>
      </c>
      <c r="E11" s="41" t="n">
        <f aca="false">IFERROR(C11/SUM($C$4:$C$13),0)</f>
        <v>0.074487895716946</v>
      </c>
      <c r="F11" s="9" t="n">
        <v>760000</v>
      </c>
      <c r="G11" s="41" t="n">
        <f aca="false">IFERROR((C11-F11)/F11,0)</f>
        <v>0.0526315789473684</v>
      </c>
    </row>
    <row r="12" customFormat="false" ht="15" hidden="false" customHeight="false" outlineLevel="0" collapsed="false">
      <c r="A12" s="27" t="s">
        <v>19</v>
      </c>
      <c r="B12" s="36" t="n">
        <v>6</v>
      </c>
      <c r="C12" s="5" t="n">
        <v>360000</v>
      </c>
      <c r="D12" s="37" t="n">
        <f aca="false">IFERROR(C12/B12,0)</f>
        <v>60000</v>
      </c>
      <c r="E12" s="38" t="n">
        <f aca="false">IFERROR(C12/SUM($C$4:$C$13),0)</f>
        <v>0.0335195530726257</v>
      </c>
      <c r="F12" s="5" t="n">
        <v>340000</v>
      </c>
      <c r="G12" s="38" t="n">
        <f aca="false">IFERROR((C12-F12)/F12,0)</f>
        <v>0.0588235294117647</v>
      </c>
    </row>
    <row r="13" customFormat="false" ht="15" hidden="false" customHeight="false" outlineLevel="0" collapsed="false">
      <c r="A13" s="26" t="s">
        <v>20</v>
      </c>
      <c r="B13" s="39" t="n">
        <v>14</v>
      </c>
      <c r="C13" s="9" t="n">
        <v>640000</v>
      </c>
      <c r="D13" s="40" t="n">
        <f aca="false">IFERROR(C13/B13,0)</f>
        <v>45714.2857142857</v>
      </c>
      <c r="E13" s="41" t="n">
        <f aca="false">IFERROR(C13/SUM($C$4:$C$13),0)</f>
        <v>0.0595903165735568</v>
      </c>
      <c r="F13" s="9" t="n">
        <v>600000</v>
      </c>
      <c r="G13" s="41" t="n">
        <f aca="false">IFERROR((C13-F13)/F13,0)</f>
        <v>0.0666666666666667</v>
      </c>
    </row>
    <row r="14" customFormat="false" ht="15" hidden="false" customHeight="false" outlineLevel="0" collapsed="false">
      <c r="A14" s="28" t="s">
        <v>21</v>
      </c>
      <c r="B14" s="42" t="n">
        <f aca="false">SUM(B4:B13)</f>
        <v>260</v>
      </c>
      <c r="C14" s="13" t="n">
        <f aca="false">SUM(C4:C13)</f>
        <v>10740000</v>
      </c>
      <c r="D14" s="43"/>
      <c r="E14" s="43"/>
      <c r="F14" s="13" t="n">
        <f aca="false">SUM(F4:F13)</f>
        <v>9940000</v>
      </c>
      <c r="G14" s="43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2026-03-15T04:11:37Z</dcterms:created>
  <dc:creator>openpyxl</dc:creator>
  <dc:description/>
  <dc:language>en-US</dc:language>
  <cp:lastModifiedBy/>
  <dcterms:modified xsi:type="dcterms:W3CDTF">2026-03-15T04:11:37Z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